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https://livejohnshopkins.sharepoint.com/sites/TheSentinels/Shared Documents/General/Gilead Pharma Case Competition/"/>
    </mc:Choice>
  </mc:AlternateContent>
  <xr:revisionPtr revIDLastSave="397" documentId="11_ABCFD77B06B3BBB5F071EAB7029D4C3D6EBEBBC6" xr6:coauthVersionLast="47" xr6:coauthVersionMax="47" xr10:uidLastSave="{D3968B86-8507-4307-A3BC-B1CDE1677135}"/>
  <bookViews>
    <workbookView xWindow="-108" yWindow="492" windowWidth="23256" windowHeight="12576" firstSheet="2" activeTab="2" xr2:uid="{00000000-000D-0000-FFFF-FFFF00000000}"/>
  </bookViews>
  <sheets>
    <sheet name="Zile Portfolio Overview" sheetId="1" r:id="rId1"/>
    <sheet name="Market Share" sheetId="2" r:id="rId2"/>
    <sheet name="Medicare " sheetId="3" r:id="rId3"/>
  </sheets>
  <definedNames>
    <definedName name="_xlchart.v2.0" hidden="1">'Medicare '!$B$28:$B$32</definedName>
    <definedName name="_xlchart.v2.1" hidden="1">'Medicare '!$C$27</definedName>
    <definedName name="_xlchart.v2.2" hidden="1">'Medicare '!$C$28:$C$32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J9" i="3" s="1"/>
  <c r="L9" i="3" s="1"/>
  <c r="M9" i="3" s="1"/>
  <c r="B12" i="3"/>
  <c r="C11" i="3" s="1"/>
  <c r="C42" i="2"/>
  <c r="B42" i="2"/>
  <c r="C28" i="2"/>
  <c r="B28" i="2"/>
  <c r="C13" i="2"/>
  <c r="B29" i="1"/>
  <c r="J8" i="3" l="1"/>
  <c r="L8" i="3" s="1"/>
  <c r="M8" i="3" s="1"/>
  <c r="L10" i="3"/>
  <c r="C9" i="3"/>
  <c r="C10" i="3"/>
  <c r="C12" i="3" l="1"/>
  <c r="J10" i="3"/>
</calcChain>
</file>

<file path=xl/sharedStrings.xml><?xml version="1.0" encoding="utf-8"?>
<sst xmlns="http://schemas.openxmlformats.org/spreadsheetml/2006/main" count="104" uniqueCount="80">
  <si>
    <t>Zile Revenue Breakdown</t>
  </si>
  <si>
    <t>Exclusivity Type</t>
  </si>
  <si>
    <t>Period of exclusivity (years)</t>
  </si>
  <si>
    <t xml:space="preserve">Orphan Drug </t>
  </si>
  <si>
    <t>Revenue ($B)</t>
  </si>
  <si>
    <t>New Chemical Entity</t>
  </si>
  <si>
    <t>By therapeutic area ($B):</t>
  </si>
  <si>
    <t>Generating Antibiotic Incentives Now</t>
  </si>
  <si>
    <t>Oncology</t>
  </si>
  <si>
    <t>New Clinical Investigation</t>
  </si>
  <si>
    <t>Immunology</t>
  </si>
  <si>
    <t>Pediatric</t>
  </si>
  <si>
    <t>incremental</t>
  </si>
  <si>
    <t>Metabolic Disease</t>
  </si>
  <si>
    <t>By therapeutic area, market share (%):</t>
  </si>
  <si>
    <t>Zile Therapeutic Areas (Portfolio)</t>
  </si>
  <si>
    <t>($B), 2023</t>
  </si>
  <si>
    <t>Oncology:</t>
  </si>
  <si>
    <t>Kendizo</t>
  </si>
  <si>
    <t>Loganar</t>
  </si>
  <si>
    <t>Infiltra</t>
  </si>
  <si>
    <t>Malakist</t>
  </si>
  <si>
    <t>Immunology:</t>
  </si>
  <si>
    <t>Athera</t>
  </si>
  <si>
    <t>Smotar</t>
  </si>
  <si>
    <t>Metabolic Disease:</t>
  </si>
  <si>
    <t>Glycazex</t>
  </si>
  <si>
    <t>Zile Therapeutic Areas (R&amp;D):</t>
  </si>
  <si>
    <t>% Revenue</t>
  </si>
  <si>
    <t>Oncology Market:</t>
  </si>
  <si>
    <t>Rank</t>
  </si>
  <si>
    <t>Company Revenue (US$Bn)</t>
  </si>
  <si>
    <t>Market Share (%)</t>
  </si>
  <si>
    <t>All others</t>
  </si>
  <si>
    <t>TOTAL</t>
  </si>
  <si>
    <t>Immunology Market:</t>
  </si>
  <si>
    <t>Metabolic Disease Market:</t>
  </si>
  <si>
    <t xml:space="preserve">Patients served </t>
  </si>
  <si>
    <t xml:space="preserve">Gross revenue ($B) </t>
  </si>
  <si>
    <t xml:space="preserve">Rebate % </t>
  </si>
  <si>
    <t>Net revenue ($B)</t>
  </si>
  <si>
    <t>Kendizo Price</t>
  </si>
  <si>
    <t>Maximum Fair Price Determination defined by IRA</t>
  </si>
  <si>
    <t xml:space="preserve">Private plans  </t>
  </si>
  <si>
    <t xml:space="preserve">$11.78 </t>
  </si>
  <si>
    <t>$10.60</t>
  </si>
  <si>
    <t>Generic entry (to drugs)</t>
  </si>
  <si>
    <t>Time marketed (years</t>
  </si>
  <si>
    <t>Price relative to non-federal buyers (%)</t>
  </si>
  <si>
    <t>Implied federal discount (%)</t>
  </si>
  <si>
    <t xml:space="preserve">Medicare    </t>
  </si>
  <si>
    <t>$5.68</t>
  </si>
  <si>
    <t>$4.54</t>
  </si>
  <si>
    <t>New Price of Kendizo</t>
  </si>
  <si>
    <t>9-11</t>
  </si>
  <si>
    <t xml:space="preserve"> $17.46</t>
  </si>
  <si>
    <t xml:space="preserve"> $15.14</t>
  </si>
  <si>
    <t>12-15</t>
  </si>
  <si>
    <t>16+</t>
  </si>
  <si>
    <t>Revenue Implications of Generic Entry</t>
  </si>
  <si>
    <t>R&amp;D ALLOCATION</t>
  </si>
  <si>
    <t>Implied Price</t>
  </si>
  <si>
    <t xml:space="preserve">Therapeutic area  </t>
  </si>
  <si>
    <t>R&amp;D (US$Bn)</t>
  </si>
  <si>
    <t>%Allocation</t>
  </si>
  <si>
    <t xml:space="preserve">Immunology </t>
  </si>
  <si>
    <t xml:space="preserve">Metabolic disease </t>
  </si>
  <si>
    <t>Strategy</t>
  </si>
  <si>
    <t>Percentage</t>
  </si>
  <si>
    <t>Belvedere Biosciences Acquisition</t>
  </si>
  <si>
    <t>Metabolic Disease Drug Expansion</t>
  </si>
  <si>
    <t>Generic Market Entry</t>
  </si>
  <si>
    <t>Kendizo Skinny Labeling</t>
  </si>
  <si>
    <t>Strategic Initiative</t>
  </si>
  <si>
    <t>Cost</t>
  </si>
  <si>
    <t>Total Investment</t>
  </si>
  <si>
    <t>M&amp;A  for Belvedere</t>
  </si>
  <si>
    <t xml:space="preserve">Metabolic Disease Drug Expansion </t>
  </si>
  <si>
    <t>Introduction of Authorized Generics for Oncology (Kendizo)</t>
  </si>
  <si>
    <t>R&amp;D for Extra Indication for Kendizo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</si>
</sst>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0.0%"/>
  </numFmts>
  <fonts count="10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42424"/>
      <name val="Aptos Narrow"/>
      <family val="2"/>
    </font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-Bold"/>
    </font>
    <font>
      <sz val="11"/>
      <color rgb="FF0F325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2"/>
    </xf>
    <xf numFmtId="0" fontId="2" fillId="0" borderId="0" xfId="0" applyFont="1"/>
    <xf numFmtId="0" fontId="1" fillId="0" borderId="1" xfId="1" applyFill="1"/>
    <xf numFmtId="0" fontId="2" fillId="0" borderId="0" xfId="0" applyFont="1" applyAlignment="1">
      <alignment horizontal="center"/>
    </xf>
    <xf numFmtId="0" fontId="2" fillId="2" borderId="0" xfId="0" applyFon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0" fontId="2" fillId="3" borderId="0" xfId="0" applyFont="1" applyFill="1"/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2" fillId="0" borderId="6" xfId="0" applyFont="1" applyBorder="1"/>
    <xf numFmtId="8" fontId="2" fillId="0" borderId="7" xfId="0" applyNumberFormat="1" applyFont="1" applyBorder="1"/>
    <xf numFmtId="0" fontId="0" fillId="0" borderId="8" xfId="0" applyBorder="1" applyAlignment="1">
      <alignment horizontal="left" indent="3"/>
    </xf>
    <xf numFmtId="8" fontId="0" fillId="0" borderId="9" xfId="0" applyNumberFormat="1" applyBorder="1"/>
    <xf numFmtId="0" fontId="0" fillId="0" borderId="10" xfId="0" applyBorder="1" applyAlignment="1">
      <alignment horizontal="left" indent="3"/>
    </xf>
    <xf numFmtId="8" fontId="0" fillId="0" borderId="11" xfId="0" applyNumberFormat="1" applyBorder="1"/>
    <xf numFmtId="9" fontId="0" fillId="0" borderId="0" xfId="4" applyFont="1"/>
    <xf numFmtId="0" fontId="2" fillId="0" borderId="12" xfId="0" applyFont="1" applyBorder="1"/>
    <xf numFmtId="0" fontId="2" fillId="0" borderId="13" xfId="0" applyFont="1" applyBorder="1"/>
    <xf numFmtId="165" fontId="0" fillId="3" borderId="11" xfId="4" applyNumberFormat="1" applyFont="1" applyFill="1" applyBorder="1"/>
    <xf numFmtId="0" fontId="2" fillId="0" borderId="10" xfId="0" applyFont="1" applyBorder="1" applyAlignment="1">
      <alignment horizontal="right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0" fontId="0" fillId="0" borderId="3" xfId="0" applyNumberFormat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 applyAlignment="1">
      <alignment horizontal="right" vertical="center" wrapText="1"/>
    </xf>
    <xf numFmtId="10" fontId="0" fillId="4" borderId="3" xfId="0" applyNumberForma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9" fontId="2" fillId="0" borderId="3" xfId="0" applyNumberFormat="1" applyFont="1" applyBorder="1" applyAlignment="1">
      <alignment vertical="center" wrapText="1"/>
    </xf>
    <xf numFmtId="0" fontId="7" fillId="0" borderId="0" xfId="0" applyFont="1"/>
    <xf numFmtId="3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7" fillId="0" borderId="17" xfId="0" applyFont="1" applyBorder="1"/>
    <xf numFmtId="3" fontId="0" fillId="0" borderId="17" xfId="0" applyNumberFormat="1" applyBorder="1" applyAlignment="1">
      <alignment horizontal="left"/>
    </xf>
    <xf numFmtId="0" fontId="0" fillId="0" borderId="17" xfId="0" applyBorder="1"/>
    <xf numFmtId="9" fontId="0" fillId="0" borderId="17" xfId="0" applyNumberFormat="1" applyBorder="1" applyAlignment="1">
      <alignment horizontal="left"/>
    </xf>
    <xf numFmtId="3" fontId="2" fillId="0" borderId="0" xfId="0" applyNumberFormat="1" applyFont="1" applyAlignment="1">
      <alignment horizontal="left"/>
    </xf>
    <xf numFmtId="0" fontId="8" fillId="0" borderId="0" xfId="0" applyFont="1"/>
    <xf numFmtId="0" fontId="6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/>
    </xf>
    <xf numFmtId="0" fontId="7" fillId="0" borderId="0" xfId="0" applyFont="1" applyAlignment="1">
      <alignment vertical="center" wrapText="1"/>
    </xf>
    <xf numFmtId="2" fontId="7" fillId="0" borderId="0" xfId="0" applyNumberFormat="1" applyFont="1" applyAlignment="1">
      <alignment vertical="center" wrapText="1"/>
    </xf>
    <xf numFmtId="2" fontId="0" fillId="0" borderId="17" xfId="0" applyNumberFormat="1" applyBorder="1"/>
    <xf numFmtId="9" fontId="0" fillId="0" borderId="17" xfId="4" applyFont="1" applyBorder="1"/>
    <xf numFmtId="2" fontId="2" fillId="0" borderId="0" xfId="0" applyNumberFormat="1" applyFont="1"/>
    <xf numFmtId="9" fontId="0" fillId="0" borderId="0" xfId="0" applyNumberFormat="1"/>
    <xf numFmtId="0" fontId="1" fillId="5" borderId="1" xfId="1" applyFill="1"/>
    <xf numFmtId="0" fontId="1" fillId="5" borderId="0" xfId="1" applyFill="1" applyBorder="1"/>
    <xf numFmtId="10" fontId="0" fillId="0" borderId="0" xfId="0" applyNumberFormat="1"/>
    <xf numFmtId="43" fontId="0" fillId="0" borderId="0" xfId="2" applyFont="1"/>
    <xf numFmtId="44" fontId="0" fillId="0" borderId="0" xfId="3" applyFont="1"/>
    <xf numFmtId="2" fontId="0" fillId="0" borderId="0" xfId="3" applyNumberFormat="1" applyFont="1"/>
    <xf numFmtId="44" fontId="8" fillId="0" borderId="0" xfId="0" applyNumberFormat="1" applyFont="1"/>
    <xf numFmtId="0" fontId="0" fillId="0" borderId="0" xfId="0" applyAlignment="1">
      <alignment wrapText="1"/>
    </xf>
    <xf numFmtId="49" fontId="0" fillId="0" borderId="0" xfId="0" applyNumberFormat="1"/>
    <xf numFmtId="9" fontId="0" fillId="0" borderId="0" xfId="0" applyNumberFormat="1" applyAlignment="1">
      <alignment wrapText="1"/>
    </xf>
    <xf numFmtId="44" fontId="0" fillId="3" borderId="0" xfId="0" applyNumberFormat="1" applyFill="1"/>
    <xf numFmtId="0" fontId="9" fillId="0" borderId="0" xfId="0" applyFont="1"/>
    <xf numFmtId="8" fontId="0" fillId="0" borderId="0" xfId="0" applyNumberFormat="1"/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1" fillId="0" borderId="1" xfId="1" applyAlignment="1">
      <alignment horizontal="center"/>
    </xf>
    <xf numFmtId="0" fontId="0" fillId="0" borderId="0" xfId="0" applyAlignment="1">
      <alignment horizontal="center"/>
    </xf>
  </cellXfs>
  <cellStyles count="5">
    <cellStyle name="Comma" xfId="2" builtinId="3"/>
    <cellStyle name="Currency" xfId="3" builtinId="4"/>
    <cellStyle name="Heading 2" xfId="1" builtinId="17"/>
    <cellStyle name="Normal" xfId="0" builtinId="0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'Medicare '!$C$18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3-4EC6-8051-10A941BE1E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C3-4EC6-8051-10A941BE1E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C3-4EC6-8051-10A941BE1E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C3-4EC6-8051-10A941BE1E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'Medicare '!$B$19:$B$22</c:f>
              <c:strCache>
                <c:ptCount val="4"/>
                <c:pt idx="0">
                  <c:v>Belvedere Biosciences Acquisition</c:v>
                </c:pt>
                <c:pt idx="1">
                  <c:v>Metabolic Disease Drug Expansion</c:v>
                </c:pt>
                <c:pt idx="2">
                  <c:v>Generic Market Entry</c:v>
                </c:pt>
                <c:pt idx="3">
                  <c:v>Kendizo Skinny Labeling</c:v>
                </c:pt>
              </c:strCache>
            </c:strRef>
          </c:cat>
          <c:val>
            <c:numRef>
              <c:f>'Medicare '!$C$19:$C$22</c:f>
              <c:numCache>
                <c:formatCode>0%</c:formatCode>
                <c:ptCount val="4"/>
                <c:pt idx="0">
                  <c:v>0.8</c:v>
                </c:pt>
                <c:pt idx="1">
                  <c:v>0.03</c:v>
                </c:pt>
                <c:pt idx="2">
                  <c:v>0.02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5-4105-83DD-DF45BA9FFD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Zile Revenue Allocation - Summary ($B)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Zile Revenue Allocation - Summary ($B)</a:t>
          </a:r>
        </a:p>
      </cx:txPr>
    </cx:title>
    <cx:plotArea>
      <cx:plotAreaRegion>
        <cx:series layoutId="funnel" uniqueId="{9AF4BFDA-19E3-4676-A98F-646817C9843A}">
          <cx:tx>
            <cx:txData>
              <cx:f>_xlchart.v2.1</cx:f>
              <cx:v>Cost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12</xdr:row>
      <xdr:rowOff>0</xdr:rowOff>
    </xdr:from>
    <xdr:to>
      <xdr:col>14</xdr:col>
      <xdr:colOff>977265</xdr:colOff>
      <xdr:row>29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28E8F-1934-A649-9CBB-54B83F68E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630555</xdr:colOff>
      <xdr:row>23</xdr:row>
      <xdr:rowOff>0</xdr:rowOff>
    </xdr:from>
    <xdr:to>
      <xdr:col>9</xdr:col>
      <xdr:colOff>104775</xdr:colOff>
      <xdr:row>40</xdr:row>
      <xdr:rowOff>45720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CC2C46B-BE29-1E91-5C28-BFE70D141AEB}"/>
                </a:ext>
                <a:ext uri="{147F2762-F138-4A5C-976F-8EAC2B608ADB}">
                  <a16:predDERef xmlns:a16="http://schemas.microsoft.com/office/drawing/2014/main" pred="{8E928E8F-1934-A649-9CBB-54B83F68E8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8905" y="4676775"/>
              <a:ext cx="5055870" cy="3122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opLeftCell="A7" workbookViewId="0">
      <selection activeCell="J7" sqref="J7"/>
    </sheetView>
  </sheetViews>
  <sheetFormatPr defaultRowHeight="14.45"/>
  <cols>
    <col min="1" max="1" width="34.5703125" bestFit="1" customWidth="1"/>
    <col min="10" max="10" width="14.7109375" customWidth="1"/>
    <col min="11" max="11" width="21.7109375" bestFit="1" customWidth="1"/>
  </cols>
  <sheetData>
    <row r="1" spans="1:12" ht="17.45">
      <c r="A1" s="5"/>
      <c r="B1" s="5" t="s">
        <v>0</v>
      </c>
      <c r="C1" s="5"/>
      <c r="D1" s="5"/>
      <c r="E1" s="5"/>
      <c r="F1" s="5"/>
      <c r="G1" s="5"/>
      <c r="J1" t="s">
        <v>1</v>
      </c>
      <c r="K1" t="s">
        <v>2</v>
      </c>
    </row>
    <row r="2" spans="1:12">
      <c r="B2" s="4">
        <v>2018</v>
      </c>
      <c r="C2" s="4">
        <v>2019</v>
      </c>
      <c r="D2" s="4">
        <v>2020</v>
      </c>
      <c r="E2" s="4">
        <v>2021</v>
      </c>
      <c r="F2" s="4">
        <v>2022</v>
      </c>
      <c r="G2" s="12">
        <v>2023</v>
      </c>
      <c r="J2" s="58" t="s">
        <v>3</v>
      </c>
      <c r="K2">
        <v>7</v>
      </c>
    </row>
    <row r="3" spans="1:12" ht="28.9">
      <c r="A3" s="6" t="s">
        <v>4</v>
      </c>
      <c r="B3" s="1">
        <v>21.89</v>
      </c>
      <c r="C3" s="1">
        <v>22.2</v>
      </c>
      <c r="D3" s="1">
        <v>24.51</v>
      </c>
      <c r="E3" s="1">
        <v>26.22</v>
      </c>
      <c r="F3" s="1">
        <v>27.01</v>
      </c>
      <c r="G3" s="9">
        <v>29.11</v>
      </c>
      <c r="J3" s="58" t="s">
        <v>5</v>
      </c>
      <c r="K3">
        <v>5</v>
      </c>
    </row>
    <row r="4" spans="1:12" ht="43.15">
      <c r="A4" s="7" t="s">
        <v>6</v>
      </c>
      <c r="B4" s="8"/>
      <c r="C4" s="8"/>
      <c r="D4" s="8"/>
      <c r="E4" s="8"/>
      <c r="F4" s="8"/>
      <c r="G4" s="10"/>
      <c r="J4" s="58" t="s">
        <v>7</v>
      </c>
      <c r="K4">
        <v>5</v>
      </c>
    </row>
    <row r="5" spans="1:12" ht="28.9">
      <c r="A5" s="3" t="s">
        <v>8</v>
      </c>
      <c r="B5" s="1">
        <v>17.260000000000002</v>
      </c>
      <c r="C5" s="1">
        <v>16.989999999999998</v>
      </c>
      <c r="D5" s="1">
        <v>18.21</v>
      </c>
      <c r="E5" s="1">
        <v>18.920000000000002</v>
      </c>
      <c r="F5" s="1">
        <v>18.920000000000002</v>
      </c>
      <c r="G5" s="9">
        <v>19.8</v>
      </c>
      <c r="J5" s="58" t="s">
        <v>9</v>
      </c>
      <c r="K5">
        <v>3</v>
      </c>
    </row>
    <row r="6" spans="1:12">
      <c r="A6" s="3" t="s">
        <v>10</v>
      </c>
      <c r="B6" s="1">
        <v>3.17</v>
      </c>
      <c r="C6" s="1">
        <v>3.54</v>
      </c>
      <c r="D6" s="1">
        <v>4.22</v>
      </c>
      <c r="E6" s="1">
        <v>4.8099999999999996</v>
      </c>
      <c r="F6" s="1">
        <v>5.21</v>
      </c>
      <c r="G6" s="9">
        <v>5.82</v>
      </c>
      <c r="J6" s="58" t="s">
        <v>11</v>
      </c>
      <c r="K6">
        <v>0.5</v>
      </c>
      <c r="L6" t="s">
        <v>12</v>
      </c>
    </row>
    <row r="7" spans="1:12">
      <c r="A7" s="3" t="s">
        <v>13</v>
      </c>
      <c r="B7" s="1">
        <v>1.47</v>
      </c>
      <c r="C7" s="1">
        <v>1.67</v>
      </c>
      <c r="D7" s="1">
        <v>2.0699999999999998</v>
      </c>
      <c r="E7" s="1">
        <v>2.4900000000000002</v>
      </c>
      <c r="F7" s="1">
        <v>2.88</v>
      </c>
      <c r="G7" s="9">
        <v>3.49</v>
      </c>
    </row>
    <row r="8" spans="1:12">
      <c r="A8" s="7" t="s">
        <v>14</v>
      </c>
      <c r="B8" s="8"/>
      <c r="C8" s="8"/>
      <c r="D8" s="8"/>
      <c r="E8" s="8"/>
      <c r="F8" s="8"/>
      <c r="G8" s="10"/>
    </row>
    <row r="9" spans="1:12">
      <c r="A9" s="3" t="s">
        <v>8</v>
      </c>
      <c r="B9" s="2">
        <v>0.78800000000000003</v>
      </c>
      <c r="C9" s="2">
        <v>0.76500000000000001</v>
      </c>
      <c r="D9" s="2">
        <v>0.74299999999999999</v>
      </c>
      <c r="E9" s="2">
        <v>0.72099999999999997</v>
      </c>
      <c r="F9" s="2">
        <v>0.7</v>
      </c>
      <c r="G9" s="11">
        <v>0.68</v>
      </c>
    </row>
    <row r="10" spans="1:12">
      <c r="A10" s="3" t="s">
        <v>10</v>
      </c>
      <c r="B10" s="2">
        <v>0.14499999999999999</v>
      </c>
      <c r="C10" s="2">
        <v>0.159</v>
      </c>
      <c r="D10" s="2">
        <v>0.17199999999999999</v>
      </c>
      <c r="E10" s="2">
        <v>0.184</v>
      </c>
      <c r="F10" s="2">
        <v>0.193</v>
      </c>
      <c r="G10" s="11">
        <v>0.2</v>
      </c>
    </row>
    <row r="11" spans="1:12">
      <c r="A11" s="3" t="s">
        <v>13</v>
      </c>
      <c r="B11" s="2">
        <v>6.7000000000000004E-2</v>
      </c>
      <c r="C11" s="2">
        <v>7.4999999999999997E-2</v>
      </c>
      <c r="D11" s="2">
        <v>8.5000000000000006E-2</v>
      </c>
      <c r="E11" s="2">
        <v>9.5000000000000001E-2</v>
      </c>
      <c r="F11" s="2">
        <v>0.107</v>
      </c>
      <c r="G11" s="11">
        <v>0.12</v>
      </c>
    </row>
    <row r="12" spans="1:12" ht="15" thickBot="1"/>
    <row r="13" spans="1:12">
      <c r="A13" s="13" t="s">
        <v>15</v>
      </c>
      <c r="B13" s="14" t="s">
        <v>16</v>
      </c>
    </row>
    <row r="14" spans="1:12" ht="15" thickBot="1">
      <c r="A14" s="15" t="s">
        <v>17</v>
      </c>
      <c r="B14" s="16">
        <v>19.8</v>
      </c>
    </row>
    <row r="15" spans="1:12">
      <c r="A15" s="17" t="s">
        <v>18</v>
      </c>
      <c r="B15" s="18">
        <v>15.14</v>
      </c>
    </row>
    <row r="16" spans="1:12">
      <c r="A16" s="17" t="s">
        <v>19</v>
      </c>
      <c r="B16" s="18">
        <v>2.91</v>
      </c>
    </row>
    <row r="17" spans="1:2">
      <c r="A17" s="17" t="s">
        <v>20</v>
      </c>
      <c r="B17" s="18">
        <v>1.1599999999999999</v>
      </c>
    </row>
    <row r="18" spans="1:2">
      <c r="A18" s="17" t="s">
        <v>21</v>
      </c>
      <c r="B18" s="18">
        <v>0.57999999999999996</v>
      </c>
    </row>
    <row r="19" spans="1:2" ht="15" thickBot="1">
      <c r="A19" s="15" t="s">
        <v>22</v>
      </c>
      <c r="B19" s="16">
        <v>5.82</v>
      </c>
    </row>
    <row r="20" spans="1:2">
      <c r="A20" s="17" t="s">
        <v>23</v>
      </c>
      <c r="B20" s="18">
        <v>3.79</v>
      </c>
    </row>
    <row r="21" spans="1:2">
      <c r="A21" s="17" t="s">
        <v>24</v>
      </c>
      <c r="B21" s="18">
        <v>2.04</v>
      </c>
    </row>
    <row r="22" spans="1:2" ht="15" thickBot="1">
      <c r="A22" s="15" t="s">
        <v>25</v>
      </c>
      <c r="B22" s="16">
        <v>3.49</v>
      </c>
    </row>
    <row r="23" spans="1:2" ht="15" thickBot="1">
      <c r="A23" s="19" t="s">
        <v>26</v>
      </c>
      <c r="B23" s="20">
        <v>3.49</v>
      </c>
    </row>
    <row r="24" spans="1:2" ht="15" thickBot="1"/>
    <row r="25" spans="1:2" ht="15" thickBot="1">
      <c r="A25" s="22" t="s">
        <v>27</v>
      </c>
      <c r="B25" s="23" t="s">
        <v>16</v>
      </c>
    </row>
    <row r="26" spans="1:2">
      <c r="A26" s="17" t="s">
        <v>8</v>
      </c>
      <c r="B26" s="18">
        <v>5.35</v>
      </c>
    </row>
    <row r="27" spans="1:2">
      <c r="A27" s="17" t="s">
        <v>10</v>
      </c>
      <c r="B27" s="18">
        <v>1.57</v>
      </c>
    </row>
    <row r="28" spans="1:2" ht="15" thickBot="1">
      <c r="A28" s="19" t="s">
        <v>13</v>
      </c>
      <c r="B28" s="20">
        <v>0.94</v>
      </c>
    </row>
    <row r="29" spans="1:2" ht="15" thickBot="1">
      <c r="A29" s="25" t="s">
        <v>28</v>
      </c>
      <c r="B29" s="24">
        <f>SUM(B26:B28)/G3</f>
        <v>0.27001030573686019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0A3B-D87B-481D-AFEA-B0F35D2A0219}">
  <dimension ref="A1:C42"/>
  <sheetViews>
    <sheetView topLeftCell="A23" workbookViewId="0">
      <selection activeCell="G26" sqref="G26"/>
    </sheetView>
  </sheetViews>
  <sheetFormatPr defaultRowHeight="14.45"/>
  <cols>
    <col min="2" max="2" width="28.85546875" customWidth="1"/>
    <col min="3" max="3" width="32.5703125" customWidth="1"/>
  </cols>
  <sheetData>
    <row r="1" spans="1:3" ht="18">
      <c r="A1" s="64" t="s">
        <v>29</v>
      </c>
      <c r="B1" s="65"/>
      <c r="C1" s="66"/>
    </row>
    <row r="2" spans="1:3">
      <c r="A2" s="26" t="s">
        <v>30</v>
      </c>
      <c r="B2" s="26" t="s">
        <v>31</v>
      </c>
      <c r="C2" s="26" t="s">
        <v>32</v>
      </c>
    </row>
    <row r="3" spans="1:3">
      <c r="A3" s="27">
        <v>1</v>
      </c>
      <c r="B3" s="27">
        <v>22.2</v>
      </c>
      <c r="C3" s="28">
        <v>0.23</v>
      </c>
    </row>
    <row r="4" spans="1:3">
      <c r="A4" s="27">
        <v>2</v>
      </c>
      <c r="B4" s="27">
        <v>21.2</v>
      </c>
      <c r="C4" s="28">
        <v>0.22</v>
      </c>
    </row>
    <row r="5" spans="1:3">
      <c r="A5" s="29">
        <v>3</v>
      </c>
      <c r="B5" s="30">
        <v>19.8</v>
      </c>
      <c r="C5" s="31">
        <v>0.20499999999999999</v>
      </c>
    </row>
    <row r="6" spans="1:3">
      <c r="A6" s="27">
        <v>4</v>
      </c>
      <c r="B6" s="27">
        <v>9.5</v>
      </c>
      <c r="C6" s="28">
        <v>9.8000000000000004E-2</v>
      </c>
    </row>
    <row r="7" spans="1:3">
      <c r="A7" s="27">
        <v>5</v>
      </c>
      <c r="B7" s="27">
        <v>5.9</v>
      </c>
      <c r="C7" s="28">
        <v>6.0999999999999999E-2</v>
      </c>
    </row>
    <row r="8" spans="1:3">
      <c r="A8" s="27">
        <v>6</v>
      </c>
      <c r="B8" s="27">
        <v>4.3</v>
      </c>
      <c r="C8" s="28">
        <v>4.4999999999999998E-2</v>
      </c>
    </row>
    <row r="9" spans="1:3">
      <c r="A9" s="27">
        <v>7</v>
      </c>
      <c r="B9" s="27">
        <v>4.0999999999999996</v>
      </c>
      <c r="C9" s="28">
        <v>4.2000000000000003E-2</v>
      </c>
    </row>
    <row r="10" spans="1:3">
      <c r="A10" s="27">
        <v>8</v>
      </c>
      <c r="B10" s="27">
        <v>2.2000000000000002</v>
      </c>
      <c r="C10" s="28">
        <v>2.3E-2</v>
      </c>
    </row>
    <row r="11" spans="1:3">
      <c r="A11" s="27">
        <v>9</v>
      </c>
      <c r="B11" s="27">
        <v>1.3</v>
      </c>
      <c r="C11" s="28">
        <v>1.2999999999999999E-2</v>
      </c>
    </row>
    <row r="12" spans="1:3">
      <c r="A12" s="27" t="s">
        <v>33</v>
      </c>
      <c r="B12" s="27">
        <v>6</v>
      </c>
      <c r="C12" s="28">
        <v>6.2E-2</v>
      </c>
    </row>
    <row r="13" spans="1:3">
      <c r="A13" s="32" t="s">
        <v>34</v>
      </c>
      <c r="B13" s="32">
        <v>96.5</v>
      </c>
      <c r="C13" s="33">
        <f>SUM(C3:C12)</f>
        <v>0.99900000000000011</v>
      </c>
    </row>
    <row r="16" spans="1:3" ht="18">
      <c r="A16" s="64" t="s">
        <v>35</v>
      </c>
      <c r="B16" s="65"/>
      <c r="C16" s="66"/>
    </row>
    <row r="17" spans="1:3">
      <c r="A17" s="26" t="s">
        <v>30</v>
      </c>
      <c r="B17" s="26" t="s">
        <v>31</v>
      </c>
      <c r="C17" s="26" t="s">
        <v>32</v>
      </c>
    </row>
    <row r="18" spans="1:3">
      <c r="A18" s="27">
        <v>1</v>
      </c>
      <c r="B18" s="27">
        <v>9.1999999999999993</v>
      </c>
      <c r="C18" s="28">
        <v>0.13500000000000001</v>
      </c>
    </row>
    <row r="19" spans="1:3">
      <c r="A19" s="27">
        <v>2</v>
      </c>
      <c r="B19" s="27">
        <v>8.1999999999999993</v>
      </c>
      <c r="C19" s="28">
        <v>0.12</v>
      </c>
    </row>
    <row r="20" spans="1:3">
      <c r="A20" s="27">
        <v>3</v>
      </c>
      <c r="B20" s="27">
        <v>7.1</v>
      </c>
      <c r="C20" s="28">
        <v>0.104</v>
      </c>
    </row>
    <row r="21" spans="1:3">
      <c r="A21" s="27">
        <v>4</v>
      </c>
      <c r="B21" s="27">
        <v>6.1</v>
      </c>
      <c r="C21" s="28">
        <v>8.8999999999999996E-2</v>
      </c>
    </row>
    <row r="22" spans="1:3">
      <c r="A22" s="27">
        <v>5</v>
      </c>
      <c r="B22" s="27">
        <v>6.08</v>
      </c>
      <c r="C22" s="28">
        <v>8.8999999999999996E-2</v>
      </c>
    </row>
    <row r="23" spans="1:3">
      <c r="A23" s="27">
        <v>6</v>
      </c>
      <c r="B23" s="27">
        <v>6</v>
      </c>
      <c r="C23" s="28">
        <v>8.7999999999999995E-2</v>
      </c>
    </row>
    <row r="24" spans="1:3">
      <c r="A24" s="27">
        <v>7</v>
      </c>
      <c r="B24" s="27">
        <v>5.9</v>
      </c>
      <c r="C24" s="28">
        <v>8.5999999999999993E-2</v>
      </c>
    </row>
    <row r="25" spans="1:3">
      <c r="A25" s="27">
        <v>8</v>
      </c>
      <c r="B25" s="27">
        <v>5.87</v>
      </c>
      <c r="C25" s="28">
        <v>8.5999999999999993E-2</v>
      </c>
    </row>
    <row r="26" spans="1:3">
      <c r="A26" s="29">
        <v>9</v>
      </c>
      <c r="B26" s="30">
        <v>5.82</v>
      </c>
      <c r="C26" s="31">
        <v>8.5000000000000006E-2</v>
      </c>
    </row>
    <row r="27" spans="1:3">
      <c r="A27" s="27" t="s">
        <v>33</v>
      </c>
      <c r="B27" s="27">
        <v>8</v>
      </c>
      <c r="C27" s="28">
        <v>0.11700000000000001</v>
      </c>
    </row>
    <row r="28" spans="1:3">
      <c r="A28" s="32" t="s">
        <v>34</v>
      </c>
      <c r="B28" s="32">
        <f>SUM(B18:B27)</f>
        <v>68.27</v>
      </c>
      <c r="C28" s="33">
        <f>SUM(C18:C27)</f>
        <v>0.99899999999999978</v>
      </c>
    </row>
    <row r="30" spans="1:3" ht="18">
      <c r="A30" s="64" t="s">
        <v>36</v>
      </c>
      <c r="B30" s="65"/>
      <c r="C30" s="66"/>
    </row>
    <row r="31" spans="1:3">
      <c r="A31" s="26" t="s">
        <v>30</v>
      </c>
      <c r="B31" s="26" t="s">
        <v>31</v>
      </c>
      <c r="C31" s="26" t="s">
        <v>32</v>
      </c>
    </row>
    <row r="32" spans="1:3">
      <c r="A32" s="27">
        <v>1</v>
      </c>
      <c r="B32" s="27">
        <v>4.28</v>
      </c>
      <c r="C32" s="28">
        <v>0.19600000000000001</v>
      </c>
    </row>
    <row r="33" spans="1:3">
      <c r="A33" s="29">
        <v>2</v>
      </c>
      <c r="B33" s="30">
        <v>3.49</v>
      </c>
      <c r="C33" s="31">
        <v>0.16</v>
      </c>
    </row>
    <row r="34" spans="1:3">
      <c r="A34" s="27">
        <v>3</v>
      </c>
      <c r="B34" s="27">
        <v>3.28</v>
      </c>
      <c r="C34" s="28">
        <v>0.15</v>
      </c>
    </row>
    <row r="35" spans="1:3">
      <c r="A35" s="27">
        <v>4</v>
      </c>
      <c r="B35" s="27">
        <v>2.82</v>
      </c>
      <c r="C35" s="28">
        <v>0.129</v>
      </c>
    </row>
    <row r="36" spans="1:3">
      <c r="A36" s="27">
        <v>5</v>
      </c>
      <c r="B36" s="27">
        <v>2.2200000000000002</v>
      </c>
      <c r="C36" s="28">
        <v>0.10199999999999999</v>
      </c>
    </row>
    <row r="37" spans="1:3">
      <c r="A37" s="27">
        <v>6</v>
      </c>
      <c r="B37" s="27">
        <v>1.8</v>
      </c>
      <c r="C37" s="28">
        <v>8.3000000000000004E-2</v>
      </c>
    </row>
    <row r="38" spans="1:3">
      <c r="A38" s="27">
        <v>7</v>
      </c>
      <c r="B38" s="27">
        <v>1.2</v>
      </c>
      <c r="C38" s="28">
        <v>5.5E-2</v>
      </c>
    </row>
    <row r="39" spans="1:3">
      <c r="A39" s="27">
        <v>8</v>
      </c>
      <c r="B39" s="27">
        <v>0.81</v>
      </c>
      <c r="C39" s="28">
        <v>3.6999999999999998E-2</v>
      </c>
    </row>
    <row r="40" spans="1:3">
      <c r="A40" s="27">
        <v>9</v>
      </c>
      <c r="B40" s="27">
        <v>0.8</v>
      </c>
      <c r="C40" s="28">
        <v>3.6999999999999998E-2</v>
      </c>
    </row>
    <row r="41" spans="1:3">
      <c r="A41" s="27" t="s">
        <v>33</v>
      </c>
      <c r="B41" s="27">
        <v>1.1000000000000001</v>
      </c>
      <c r="C41" s="28">
        <v>0.05</v>
      </c>
    </row>
    <row r="42" spans="1:3">
      <c r="A42" s="32" t="s">
        <v>34</v>
      </c>
      <c r="B42" s="32">
        <f>SUM(B32:B41)</f>
        <v>21.8</v>
      </c>
      <c r="C42" s="33">
        <f>SUM(C32:C41)</f>
        <v>0.99900000000000011</v>
      </c>
    </row>
  </sheetData>
  <mergeCells count="3">
    <mergeCell ref="A1:C1"/>
    <mergeCell ref="A16:C16"/>
    <mergeCell ref="A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B9BF-4F7C-407F-8B40-C1817E6A59B4}">
  <dimension ref="A1:Q32"/>
  <sheetViews>
    <sheetView tabSelected="1" topLeftCell="A5" workbookViewId="0">
      <selection activeCell="P3" sqref="P3"/>
    </sheetView>
  </sheetViews>
  <sheetFormatPr defaultRowHeight="14.45"/>
  <cols>
    <col min="1" max="1" width="15.140625" bestFit="1" customWidth="1"/>
    <col min="2" max="2" width="56.28515625" customWidth="1"/>
    <col min="3" max="3" width="16.28515625" bestFit="1" customWidth="1"/>
    <col min="4" max="4" width="10" bestFit="1" customWidth="1"/>
    <col min="5" max="5" width="16.42578125" bestFit="1" customWidth="1"/>
    <col min="8" max="8" width="23.140625" customWidth="1"/>
    <col min="9" max="9" width="15.85546875" bestFit="1" customWidth="1"/>
    <col min="10" max="10" width="19" bestFit="1" customWidth="1"/>
    <col min="11" max="11" width="10" bestFit="1" customWidth="1"/>
    <col min="12" max="12" width="16.42578125" bestFit="1" customWidth="1"/>
    <col min="13" max="13" width="14.5703125" customWidth="1"/>
    <col min="15" max="15" width="23.140625" customWidth="1"/>
    <col min="16" max="16" width="23.5703125" customWidth="1"/>
    <col min="17" max="17" width="22.5703125" bestFit="1" customWidth="1"/>
  </cols>
  <sheetData>
    <row r="1" spans="1:17" ht="18" thickBot="1">
      <c r="A1" s="51"/>
      <c r="B1" s="51" t="s">
        <v>37</v>
      </c>
      <c r="C1" s="51" t="s">
        <v>38</v>
      </c>
      <c r="D1" s="51" t="s">
        <v>39</v>
      </c>
      <c r="E1" s="51" t="s">
        <v>40</v>
      </c>
      <c r="F1" s="51"/>
      <c r="H1" s="52" t="s">
        <v>41</v>
      </c>
      <c r="I1" s="54">
        <v>175000</v>
      </c>
      <c r="O1" s="69" t="s">
        <v>42</v>
      </c>
      <c r="P1" s="69"/>
      <c r="Q1" s="69"/>
    </row>
    <row r="2" spans="1:17" ht="29.45" thickTop="1">
      <c r="A2" s="34" t="s">
        <v>43</v>
      </c>
      <c r="B2" s="35">
        <v>67300</v>
      </c>
      <c r="C2" t="s">
        <v>44</v>
      </c>
      <c r="D2" s="36">
        <v>0.1</v>
      </c>
      <c r="E2" t="s">
        <v>45</v>
      </c>
      <c r="H2" t="s">
        <v>46</v>
      </c>
      <c r="I2" s="53">
        <v>0.32700000000000001</v>
      </c>
      <c r="O2" t="s">
        <v>47</v>
      </c>
      <c r="P2" s="58" t="s">
        <v>48</v>
      </c>
      <c r="Q2" t="s">
        <v>49</v>
      </c>
    </row>
    <row r="3" spans="1:17">
      <c r="A3" s="37" t="s">
        <v>50</v>
      </c>
      <c r="B3" s="38">
        <v>32448</v>
      </c>
      <c r="C3" s="39" t="s">
        <v>51</v>
      </c>
      <c r="D3" s="40">
        <v>0.2</v>
      </c>
      <c r="E3" s="39" t="s">
        <v>52</v>
      </c>
      <c r="F3" s="39"/>
      <c r="H3" t="s">
        <v>53</v>
      </c>
      <c r="I3" s="54">
        <f>I1*(1-I2)</f>
        <v>117775.00000000001</v>
      </c>
      <c r="O3" s="59" t="s">
        <v>54</v>
      </c>
      <c r="P3" s="60">
        <v>0.75</v>
      </c>
      <c r="Q3" s="50">
        <v>0.25</v>
      </c>
    </row>
    <row r="4" spans="1:17">
      <c r="B4" s="41">
        <v>99748</v>
      </c>
      <c r="C4" s="4" t="s">
        <v>55</v>
      </c>
      <c r="D4" s="4"/>
      <c r="E4" s="42" t="s">
        <v>56</v>
      </c>
      <c r="O4" s="59" t="s">
        <v>57</v>
      </c>
      <c r="P4" s="50">
        <v>0.65</v>
      </c>
      <c r="Q4" s="50">
        <v>0.35</v>
      </c>
    </row>
    <row r="5" spans="1:17">
      <c r="O5" t="s">
        <v>58</v>
      </c>
      <c r="P5" s="50">
        <v>0.4</v>
      </c>
      <c r="Q5" s="50">
        <v>0.6</v>
      </c>
    </row>
    <row r="6" spans="1:17" ht="18" thickBot="1">
      <c r="H6" s="68" t="s">
        <v>59</v>
      </c>
      <c r="I6" s="68"/>
      <c r="J6" s="68"/>
      <c r="K6" s="68"/>
      <c r="L6" s="68"/>
      <c r="M6" s="68"/>
    </row>
    <row r="7" spans="1:17" ht="18.600000000000001" thickTop="1" thickBot="1">
      <c r="A7" s="67" t="s">
        <v>60</v>
      </c>
      <c r="B7" s="67"/>
      <c r="C7" s="67"/>
      <c r="H7" s="51"/>
      <c r="I7" s="51" t="s">
        <v>37</v>
      </c>
      <c r="J7" s="51" t="s">
        <v>38</v>
      </c>
      <c r="K7" s="51" t="s">
        <v>39</v>
      </c>
      <c r="L7" s="51" t="s">
        <v>40</v>
      </c>
      <c r="M7" s="51" t="s">
        <v>61</v>
      </c>
    </row>
    <row r="8" spans="1:17" ht="28.9" thickTop="1" thickBot="1">
      <c r="A8" s="43" t="s">
        <v>62</v>
      </c>
      <c r="B8" s="43" t="s">
        <v>63</v>
      </c>
      <c r="C8" s="44" t="s">
        <v>64</v>
      </c>
      <c r="H8" s="34" t="s">
        <v>43</v>
      </c>
      <c r="I8" s="35">
        <v>67300</v>
      </c>
      <c r="J8" s="56">
        <f>I8*$I$3/1000000000</f>
        <v>7.9262575000000011</v>
      </c>
      <c r="K8" s="36">
        <v>0.1</v>
      </c>
      <c r="L8" s="55">
        <f>J8*(1-K8)</f>
        <v>7.133631750000001</v>
      </c>
      <c r="M8" s="61">
        <f>(L8*1000000000)/I8</f>
        <v>105997.50000000001</v>
      </c>
    </row>
    <row r="9" spans="1:17">
      <c r="A9" s="45" t="s">
        <v>8</v>
      </c>
      <c r="B9" s="46">
        <v>5.35</v>
      </c>
      <c r="C9" s="21">
        <f>B9/$B$12</f>
        <v>0.6806615776081425</v>
      </c>
      <c r="H9" s="37" t="s">
        <v>50</v>
      </c>
      <c r="I9" s="38">
        <v>32448</v>
      </c>
      <c r="J9" s="56">
        <f>I9*$I$3/1000000000</f>
        <v>3.8215632000000004</v>
      </c>
      <c r="K9" s="40">
        <v>0.2</v>
      </c>
      <c r="L9" s="55">
        <f>J9*(1-K9)</f>
        <v>3.0572505600000004</v>
      </c>
      <c r="M9" s="61">
        <f>(L9*1000000000)/I9</f>
        <v>94220.000000000015</v>
      </c>
    </row>
    <row r="10" spans="1:17">
      <c r="A10" s="45" t="s">
        <v>65</v>
      </c>
      <c r="B10" s="46">
        <v>1.57</v>
      </c>
      <c r="C10" s="21">
        <f>B10/$B$12</f>
        <v>0.19974554707379136</v>
      </c>
      <c r="I10" s="41">
        <v>99748</v>
      </c>
      <c r="J10" s="57">
        <f>SUM(J8:J9)</f>
        <v>11.747820700000002</v>
      </c>
      <c r="K10" s="4"/>
      <c r="L10" s="57">
        <f>SUM(L8:L9)</f>
        <v>10.190882310000001</v>
      </c>
    </row>
    <row r="11" spans="1:17">
      <c r="A11" s="39" t="s">
        <v>66</v>
      </c>
      <c r="B11" s="47">
        <v>0.94</v>
      </c>
      <c r="C11" s="48">
        <f>B11/$B$12</f>
        <v>0.11959287531806616</v>
      </c>
    </row>
    <row r="12" spans="1:17">
      <c r="B12" s="49">
        <f>SUM(B9:B11)</f>
        <v>7.8599999999999994</v>
      </c>
      <c r="C12" s="50">
        <f>SUM(C9:C11)</f>
        <v>1</v>
      </c>
      <c r="L12" s="21"/>
    </row>
    <row r="18" spans="2:3">
      <c r="B18" t="s">
        <v>67</v>
      </c>
      <c r="C18" t="s">
        <v>68</v>
      </c>
    </row>
    <row r="19" spans="2:3">
      <c r="B19" t="s">
        <v>69</v>
      </c>
      <c r="C19" s="50">
        <v>0.8</v>
      </c>
    </row>
    <row r="20" spans="2:3">
      <c r="B20" t="s">
        <v>70</v>
      </c>
      <c r="C20" s="50">
        <v>0.03</v>
      </c>
    </row>
    <row r="21" spans="2:3">
      <c r="B21" t="s">
        <v>71</v>
      </c>
      <c r="C21" s="50">
        <v>0.02</v>
      </c>
    </row>
    <row r="22" spans="2:3">
      <c r="B22" t="s">
        <v>72</v>
      </c>
      <c r="C22" s="50">
        <v>0.15</v>
      </c>
    </row>
    <row r="27" spans="2:3">
      <c r="B27" t="s">
        <v>73</v>
      </c>
      <c r="C27" t="s">
        <v>74</v>
      </c>
    </row>
    <row r="28" spans="2:3">
      <c r="B28" s="62" t="s">
        <v>75</v>
      </c>
      <c r="C28" s="63">
        <v>4.33</v>
      </c>
    </row>
    <row r="29" spans="2:3">
      <c r="B29" t="s">
        <v>76</v>
      </c>
      <c r="C29" s="63">
        <v>3.5</v>
      </c>
    </row>
    <row r="30" spans="2:3">
      <c r="B30" s="62" t="s">
        <v>77</v>
      </c>
      <c r="C30" s="63">
        <v>0.14399999999999999</v>
      </c>
    </row>
    <row r="31" spans="2:3">
      <c r="B31" s="62" t="s">
        <v>78</v>
      </c>
      <c r="C31" s="63">
        <v>7.6E-3</v>
      </c>
    </row>
    <row r="32" spans="2:3">
      <c r="B32" s="62" t="s">
        <v>79</v>
      </c>
      <c r="C32" s="63">
        <v>0.68</v>
      </c>
    </row>
  </sheetData>
  <mergeCells count="3">
    <mergeCell ref="A7:C7"/>
    <mergeCell ref="H6:M6"/>
    <mergeCell ref="O1:Q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9a829c-229a-4b71-af56-fff140185c0a" xsi:nil="true"/>
    <lcf76f155ced4ddcb4097134ff3c332f xmlns="9e627e65-24bb-4966-9e9a-c8a53fba972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FE5634CA59F84FAFDE705530147E03" ma:contentTypeVersion="11" ma:contentTypeDescription="Create a new document." ma:contentTypeScope="" ma:versionID="78342166f0b87758835fb14f8bf66fe2">
  <xsd:schema xmlns:xsd="http://www.w3.org/2001/XMLSchema" xmlns:xs="http://www.w3.org/2001/XMLSchema" xmlns:p="http://schemas.microsoft.com/office/2006/metadata/properties" xmlns:ns2="9e627e65-24bb-4966-9e9a-c8a53fba9725" xmlns:ns3="9a9a829c-229a-4b71-af56-fff140185c0a" targetNamespace="http://schemas.microsoft.com/office/2006/metadata/properties" ma:root="true" ma:fieldsID="620edb0675aff9dcfc207f5e5b62a2e5" ns2:_="" ns3:_="">
    <xsd:import namespace="9e627e65-24bb-4966-9e9a-c8a53fba9725"/>
    <xsd:import namespace="9a9a829c-229a-4b71-af56-fff140185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27e65-24bb-4966-9e9a-c8a53fba97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a829c-229a-4b71-af56-fff140185c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9a17f1-ca22-41e2-805c-f8b5670ab2ca}" ma:internalName="TaxCatchAll" ma:showField="CatchAllData" ma:web="9a9a829c-229a-4b71-af56-fff140185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648241-CF3E-4608-A944-5670E55E7BA7}"/>
</file>

<file path=customXml/itemProps2.xml><?xml version="1.0" encoding="utf-8"?>
<ds:datastoreItem xmlns:ds="http://schemas.openxmlformats.org/officeDocument/2006/customXml" ds:itemID="{ABFDF1EA-62EB-48C6-A742-17F42C48793A}"/>
</file>

<file path=customXml/itemProps3.xml><?xml version="1.0" encoding="utf-8"?>
<ds:datastoreItem xmlns:ds="http://schemas.openxmlformats.org/officeDocument/2006/customXml" ds:itemID="{33C22D36-DE19-495D-8C79-7158F1AAE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Brad Presson</cp:lastModifiedBy>
  <cp:revision/>
  <dcterms:created xsi:type="dcterms:W3CDTF">2024-11-09T14:02:23Z</dcterms:created>
  <dcterms:modified xsi:type="dcterms:W3CDTF">2026-01-12T21:42:51Z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0x01010081FE5634CA59F84FAFDE705530147E03</vt:lpwstr>
  </property>
  <property fmtid="{D5CDD505-2E9C-101B-9397-08002B2CF9AE}" pid="3" name="MediaServiceImageTags">
    <vt:lpwstr/>
  </property>
</Properties>
</file>